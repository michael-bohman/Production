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ere-my.sharepoint.com/personal/simon_olsen_sentera_com/Documents/Documents/Toolboxes/"/>
    </mc:Choice>
  </mc:AlternateContent>
  <xr:revisionPtr revIDLastSave="321" documentId="8_{8D4168CA-0C69-464A-812E-3FB04999E1E8}" xr6:coauthVersionLast="47" xr6:coauthVersionMax="47" xr10:uidLastSave="{971DCABB-A5B9-4576-A546-F21E2823CCC1}"/>
  <bookViews>
    <workbookView xWindow="-120" yWindow="-120" windowWidth="29040" windowHeight="15720" xr2:uid="{10EA05F6-7C47-46F2-8D1E-E4ED91B5ED0C}"/>
  </bookViews>
  <sheets>
    <sheet name="Items" sheetId="1" r:id="rId1"/>
    <sheet name="Torque Values" sheetId="3" r:id="rId2"/>
    <sheet name="Order Lis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7" i="3"/>
  <c r="D8" i="3"/>
  <c r="D9" i="3"/>
  <c r="D10" i="3"/>
</calcChain>
</file>

<file path=xl/sharedStrings.xml><?xml version="1.0" encoding="utf-8"?>
<sst xmlns="http://schemas.openxmlformats.org/spreadsheetml/2006/main" count="131" uniqueCount="106">
  <si>
    <t>Screw Drivers</t>
  </si>
  <si>
    <t>Phillips 0</t>
  </si>
  <si>
    <t>Phillips 1</t>
  </si>
  <si>
    <t>Flathead 1.5</t>
  </si>
  <si>
    <t>Flathead 3.0</t>
  </si>
  <si>
    <t>Hex 0.05"</t>
  </si>
  <si>
    <t>Hex 1.5</t>
  </si>
  <si>
    <t>Other:</t>
  </si>
  <si>
    <t>Black Sharpie</t>
  </si>
  <si>
    <t>Straight Tweezers</t>
  </si>
  <si>
    <t>Curved Tweezers</t>
  </si>
  <si>
    <t>Box Cutter</t>
  </si>
  <si>
    <t>Torque Screwdriver Handle</t>
  </si>
  <si>
    <t>Link (if needed):</t>
  </si>
  <si>
    <t>Screw Drivers:</t>
  </si>
  <si>
    <t>Ruler</t>
  </si>
  <si>
    <t>Scissors</t>
  </si>
  <si>
    <t>Pliers</t>
  </si>
  <si>
    <t>Adjustable wrench</t>
  </si>
  <si>
    <t>brush</t>
  </si>
  <si>
    <t>Torque Screwdriver Supplies</t>
  </si>
  <si>
    <t>Adjuster Handle</t>
  </si>
  <si>
    <t>Phillips 0 Blade</t>
  </si>
  <si>
    <t>Phillips 1 Blade</t>
  </si>
  <si>
    <t>Hex 5/64" Blade</t>
  </si>
  <si>
    <t>Hex 0.05" Blade</t>
  </si>
  <si>
    <t>White Sharpie</t>
  </si>
  <si>
    <t>Hex 3.0</t>
  </si>
  <si>
    <t>Wire Strippers</t>
  </si>
  <si>
    <t>Toolbox Foam</t>
  </si>
  <si>
    <t>Top drawer foam</t>
  </si>
  <si>
    <t>Bottom drawer foam</t>
  </si>
  <si>
    <t>Cutout</t>
  </si>
  <si>
    <t>Blank</t>
  </si>
  <si>
    <t>Cutout?</t>
  </si>
  <si>
    <t>Size:</t>
  </si>
  <si>
    <t>4mm chrome deep well socket</t>
  </si>
  <si>
    <t>Notes:</t>
  </si>
  <si>
    <t>for 6X board stack</t>
  </si>
  <si>
    <t>Mainly Astro Legs</t>
  </si>
  <si>
    <t>PPK</t>
  </si>
  <si>
    <t>Some people like them</t>
  </si>
  <si>
    <t>Order List</t>
  </si>
  <si>
    <t>Name</t>
  </si>
  <si>
    <t>Link</t>
  </si>
  <si>
    <t>Qty:</t>
  </si>
  <si>
    <t>5/64" Hex driver non ball end</t>
  </si>
  <si>
    <t>Hex 2.5</t>
  </si>
  <si>
    <t>Torx T5</t>
  </si>
  <si>
    <t>Screw Size</t>
  </si>
  <si>
    <t>Torque Value (in-oz)</t>
  </si>
  <si>
    <t>1-72</t>
  </si>
  <si>
    <t>2-56</t>
  </si>
  <si>
    <t>4-40</t>
  </si>
  <si>
    <t>M2</t>
  </si>
  <si>
    <t>M2.5</t>
  </si>
  <si>
    <t>M3</t>
  </si>
  <si>
    <t>Torque Value (in-lbs)</t>
  </si>
  <si>
    <t>Torque Screwdriver</t>
  </si>
  <si>
    <t>red bit holder</t>
  </si>
  <si>
    <t>4mm Hex Socket</t>
  </si>
  <si>
    <t>5mm Hex Socket</t>
  </si>
  <si>
    <t>Other Items</t>
  </si>
  <si>
    <t>Top Drawer Items</t>
  </si>
  <si>
    <t>Brand</t>
  </si>
  <si>
    <t>Wiha</t>
  </si>
  <si>
    <t>2nd Torque Screwdriver</t>
  </si>
  <si>
    <t>1/4" Hex Adapter</t>
  </si>
  <si>
    <t>Hex 2.0 5/64"</t>
  </si>
  <si>
    <t>Hex 1/16"</t>
  </si>
  <si>
    <t>https://www.digikey.com/en/products/detail/wiha/26110/510483</t>
  </si>
  <si>
    <t>https://www.digikey.com/en/products/detail/wiha/26105/510481</t>
  </si>
  <si>
    <t>https://www.digikey.com/en/products/detail/wiha/26320/510493</t>
  </si>
  <si>
    <t>https://www.digikey.com/en/products/detail/wiha/26325/510495</t>
  </si>
  <si>
    <t>https://www.digikey.com/en/products/detail/wiha/26316/510492</t>
  </si>
  <si>
    <t>https://www.digikey.com/en/products/detail/wiha/26315/510491</t>
  </si>
  <si>
    <t>https://www.digikey.com/en/products/detail/wiha/26334/25321783</t>
  </si>
  <si>
    <t>https://www.digikey.com/en/products/detail/wiha/26413/510499</t>
  </si>
  <si>
    <t>https://www.digikey.com/en/products/detail/wiha/26617/25321744</t>
  </si>
  <si>
    <t>https://www.digikey.com/en/products/detail/wiha/26015/510463</t>
  </si>
  <si>
    <t>https://www.digikey.com/en/products/detail/wiha/26035/510474</t>
  </si>
  <si>
    <t>https://www.digikey.com/en/products/detail/wiha/26540/510525</t>
  </si>
  <si>
    <t>https://www.digikey.com/en/products/detail/wiha/26550/510528</t>
  </si>
  <si>
    <t>https://www.digikey.com/en/products/detail/wiha/28417/10126302</t>
  </si>
  <si>
    <t>https://www.digikey.com/en/products/detail/wiha/28581/530853</t>
  </si>
  <si>
    <t>https://www.digikey.com/en/products/detail/wiha/28501/691711</t>
  </si>
  <si>
    <t>https://www.digikey.com/en/products/detail/wiha/28542/530833</t>
  </si>
  <si>
    <t>https://www.digikey.com/en/products/detail/wiha/28543/530834</t>
  </si>
  <si>
    <t>https://www.digikey.com/en/products/detail/wiha/28555/1987933</t>
  </si>
  <si>
    <t>https://www.digikey.com/en/products/detail/wiha/28546/1987924</t>
  </si>
  <si>
    <t>https://www.digikey.com/en/products/detail/digikey/DKS-PCB-RULER-12INCH/5767550</t>
  </si>
  <si>
    <t>Will use different box cutters for each person, just take one from production area</t>
  </si>
  <si>
    <t>https://www.digikey.com/en/products/detail/wiha/28586/16024268</t>
  </si>
  <si>
    <t>https://www.mcmaster.com/5385A2/</t>
  </si>
  <si>
    <t>https://www.digikey.com/en/products/detail/tempo-communications/PA70057/1850296</t>
  </si>
  <si>
    <t>https://www.mcmaster.com/70305T52/</t>
  </si>
  <si>
    <t>https://www.mcmaster.com/5783A4/</t>
  </si>
  <si>
    <t>I think comes with torque screwdriver</t>
  </si>
  <si>
    <t>Screwdriver socket driver</t>
  </si>
  <si>
    <t>https://www.mcmaster.com/5521A24/</t>
  </si>
  <si>
    <t>https://www.mcmaster.com/5543A73/</t>
  </si>
  <si>
    <t>Socket, 5/16</t>
  </si>
  <si>
    <t>For GPS Antenna Nuts</t>
  </si>
  <si>
    <t>TOOLBOX ITEMS</t>
  </si>
  <si>
    <t>ToolBox:</t>
  </si>
  <si>
    <t>https://workprotools.store/products/workpro-15-inch-heavy-duty-metal-tool-box-with-2-drawers-1-top-storage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</si>
</sst>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2" borderId="5" xfId="0" applyFont="1" applyFill="1" applyBorder="1"/>
    <xf numFmtId="0" fontId="0" fillId="2" borderId="6" xfId="0" applyFill="1" applyBorder="1"/>
    <xf numFmtId="0" fontId="0" fillId="0" borderId="7" xfId="0" applyBorder="1"/>
    <xf numFmtId="0" fontId="0" fillId="2" borderId="8" xfId="0" applyFill="1" applyBorder="1"/>
    <xf numFmtId="0" fontId="0" fillId="2" borderId="0" xfId="0" applyFill="1"/>
    <xf numFmtId="2" fontId="0" fillId="0" borderId="0" xfId="0" quotePrefix="1" applyNumberFormat="1"/>
    <xf numFmtId="17" fontId="0" fillId="0" borderId="0" xfId="0" quotePrefix="1" applyNumberFormat="1"/>
    <xf numFmtId="0" fontId="1" fillId="2" borderId="9" xfId="0" applyFont="1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2" fillId="2" borderId="9" xfId="0" applyFont="1" applyFill="1" applyBorder="1"/>
    <xf numFmtId="0" fontId="2" fillId="2" borderId="13" xfId="0" applyFont="1" applyFill="1" applyBorder="1"/>
    <xf numFmtId="0" fontId="3" fillId="2" borderId="10" xfId="0" applyFont="1" applyFill="1" applyBorder="1"/>
    <xf numFmtId="0" fontId="0" fillId="3" borderId="14" xfId="0" applyFill="1" applyBorder="1"/>
    <xf numFmtId="0" fontId="1" fillId="2" borderId="13" xfId="0" applyFont="1" applyFill="1" applyBorder="1"/>
    <xf numFmtId="0" fontId="0" fillId="0" borderId="0" xfId="0" applyBorder="1"/>
    <xf numFmtId="0" fontId="0" fillId="0" borderId="0" xfId="0" applyFill="1" applyBorder="1"/>
    <xf numFmtId="0" fontId="4" fillId="0" borderId="2" xfId="1" applyBorder="1"/>
    <xf numFmtId="0" fontId="0" fillId="4" borderId="0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wiha/26550/510528" TargetMode="External"/><Relationship Id="rId13" Type="http://schemas.openxmlformats.org/officeDocument/2006/relationships/hyperlink" Target="https://www.digikey.com/en/products/detail/wiha/28555/1987933" TargetMode="External"/><Relationship Id="rId3" Type="http://schemas.openxmlformats.org/officeDocument/2006/relationships/hyperlink" Target="https://www.digikey.com/en/products/detail/wiha/26320/510493" TargetMode="External"/><Relationship Id="rId7" Type="http://schemas.openxmlformats.org/officeDocument/2006/relationships/hyperlink" Target="https://www.digikey.com/en/products/detail/wiha/26540/510525" TargetMode="External"/><Relationship Id="rId12" Type="http://schemas.openxmlformats.org/officeDocument/2006/relationships/hyperlink" Target="https://www.digikey.com/en/products/detail/wiha/28543/530834" TargetMode="External"/><Relationship Id="rId2" Type="http://schemas.openxmlformats.org/officeDocument/2006/relationships/hyperlink" Target="https://www.digikey.com/en/products/detail/wiha/26105/510481" TargetMode="External"/><Relationship Id="rId1" Type="http://schemas.openxmlformats.org/officeDocument/2006/relationships/hyperlink" Target="https://www.digikey.com/en/products/detail/wiha/26110/510483" TargetMode="External"/><Relationship Id="rId6" Type="http://schemas.openxmlformats.org/officeDocument/2006/relationships/hyperlink" Target="https://www.digikey.com/en/products/detail/wiha/26035/510474" TargetMode="External"/><Relationship Id="rId11" Type="http://schemas.openxmlformats.org/officeDocument/2006/relationships/hyperlink" Target="https://www.digikey.com/en/products/detail/wiha/28542/530833" TargetMode="External"/><Relationship Id="rId5" Type="http://schemas.openxmlformats.org/officeDocument/2006/relationships/hyperlink" Target="https://www.digikey.com/en/products/detail/wiha/26015/510463" TargetMode="External"/><Relationship Id="rId15" Type="http://schemas.openxmlformats.org/officeDocument/2006/relationships/hyperlink" Target="https://workprotools.store/products/workpro-15-inch-heavy-duty-metal-tool-box-with-2-drawers-1-top-storage" TargetMode="External"/><Relationship Id="rId10" Type="http://schemas.openxmlformats.org/officeDocument/2006/relationships/hyperlink" Target="https://www.digikey.com/en/products/detail/wiha/28501/691711" TargetMode="External"/><Relationship Id="rId4" Type="http://schemas.openxmlformats.org/officeDocument/2006/relationships/hyperlink" Target="https://www.digikey.com/en/products/detail/wiha/26316/510492" TargetMode="External"/><Relationship Id="rId9" Type="http://schemas.openxmlformats.org/officeDocument/2006/relationships/hyperlink" Target="https://www.digikey.com/en/products/detail/wiha/28581/530853" TargetMode="External"/><Relationship Id="rId14" Type="http://schemas.openxmlformats.org/officeDocument/2006/relationships/hyperlink" Target="https://www.digikey.com/en/products/detail/wiha/28546/19879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4F5D1-35BC-42CB-A503-67318EF8B090}">
  <dimension ref="B2:I53"/>
  <sheetViews>
    <sheetView tabSelected="1" workbookViewId="0">
      <selection activeCell="J15" sqref="J15"/>
    </sheetView>
  </sheetViews>
  <sheetFormatPr defaultRowHeight="15" x14ac:dyDescent="0.25"/>
  <cols>
    <col min="2" max="2" width="32.5703125" bestFit="1" customWidth="1"/>
    <col min="3" max="3" width="10.5703125" customWidth="1"/>
    <col min="4" max="4" width="39.5703125" customWidth="1"/>
    <col min="5" max="5" width="59.140625" bestFit="1" customWidth="1"/>
    <col min="9" max="9" width="15.5703125" customWidth="1"/>
    <col min="10" max="10" width="21" bestFit="1" customWidth="1"/>
    <col min="11" max="11" width="28.7109375" customWidth="1"/>
    <col min="12" max="12" width="9.7109375" customWidth="1"/>
    <col min="13" max="13" width="9.85546875" customWidth="1"/>
    <col min="14" max="14" width="19.140625" bestFit="1" customWidth="1"/>
  </cols>
  <sheetData>
    <row r="2" spans="2:9" x14ac:dyDescent="0.25">
      <c r="B2" t="s">
        <v>103</v>
      </c>
    </row>
    <row r="4" spans="2:9" x14ac:dyDescent="0.25">
      <c r="B4" t="s">
        <v>104</v>
      </c>
      <c r="C4" s="28" t="s">
        <v>105</v>
      </c>
    </row>
    <row r="5" spans="2:9" ht="15.75" thickBot="1" x14ac:dyDescent="0.3"/>
    <row r="6" spans="2:9" x14ac:dyDescent="0.25">
      <c r="B6" s="12" t="s">
        <v>63</v>
      </c>
      <c r="C6" s="20" t="s">
        <v>64</v>
      </c>
      <c r="D6" s="20" t="s">
        <v>37</v>
      </c>
      <c r="E6" s="13" t="s">
        <v>13</v>
      </c>
      <c r="G6" s="5" t="s">
        <v>29</v>
      </c>
      <c r="H6" s="8" t="s">
        <v>34</v>
      </c>
      <c r="I6" s="6" t="s">
        <v>35</v>
      </c>
    </row>
    <row r="7" spans="2:9" x14ac:dyDescent="0.25">
      <c r="B7" s="14" t="s">
        <v>0</v>
      </c>
      <c r="C7" s="19"/>
      <c r="D7" s="19"/>
      <c r="E7" s="15"/>
      <c r="G7" s="2" t="s">
        <v>30</v>
      </c>
      <c r="H7" t="s">
        <v>32</v>
      </c>
      <c r="I7" s="1"/>
    </row>
    <row r="8" spans="2:9" ht="15.75" thickBot="1" x14ac:dyDescent="0.3">
      <c r="B8" s="2" t="s">
        <v>1</v>
      </c>
      <c r="C8" s="21" t="s">
        <v>65</v>
      </c>
      <c r="E8" s="23" t="s">
        <v>71</v>
      </c>
      <c r="G8" s="3" t="s">
        <v>31</v>
      </c>
      <c r="H8" s="7" t="s">
        <v>33</v>
      </c>
      <c r="I8" s="4"/>
    </row>
    <row r="9" spans="2:9" x14ac:dyDescent="0.25">
      <c r="B9" s="2" t="s">
        <v>2</v>
      </c>
      <c r="C9" s="21" t="s">
        <v>65</v>
      </c>
      <c r="E9" s="23" t="s">
        <v>70</v>
      </c>
    </row>
    <row r="10" spans="2:9" x14ac:dyDescent="0.25">
      <c r="B10" s="2" t="s">
        <v>68</v>
      </c>
      <c r="C10" s="21" t="s">
        <v>65</v>
      </c>
      <c r="E10" s="23" t="s">
        <v>72</v>
      </c>
    </row>
    <row r="11" spans="2:9" x14ac:dyDescent="0.25">
      <c r="B11" s="2" t="s">
        <v>5</v>
      </c>
      <c r="C11" s="21" t="s">
        <v>65</v>
      </c>
      <c r="E11" s="24" t="s">
        <v>77</v>
      </c>
    </row>
    <row r="12" spans="2:9" x14ac:dyDescent="0.25">
      <c r="B12" s="14" t="s">
        <v>58</v>
      </c>
      <c r="C12" s="19"/>
      <c r="D12" s="19"/>
      <c r="E12" s="15"/>
    </row>
    <row r="13" spans="2:9" x14ac:dyDescent="0.25">
      <c r="B13" s="2" t="s">
        <v>12</v>
      </c>
      <c r="C13" s="22" t="s">
        <v>65</v>
      </c>
      <c r="E13" s="23" t="s">
        <v>85</v>
      </c>
    </row>
    <row r="14" spans="2:9" x14ac:dyDescent="0.25">
      <c r="B14" s="2" t="s">
        <v>22</v>
      </c>
      <c r="C14" s="22" t="s">
        <v>65</v>
      </c>
      <c r="E14" s="23" t="s">
        <v>86</v>
      </c>
    </row>
    <row r="15" spans="2:9" x14ac:dyDescent="0.25">
      <c r="B15" s="2" t="s">
        <v>23</v>
      </c>
      <c r="C15" s="22" t="s">
        <v>65</v>
      </c>
      <c r="E15" s="23" t="s">
        <v>87</v>
      </c>
    </row>
    <row r="16" spans="2:9" x14ac:dyDescent="0.25">
      <c r="B16" s="2" t="s">
        <v>24</v>
      </c>
      <c r="C16" s="22" t="s">
        <v>65</v>
      </c>
      <c r="E16" s="23" t="s">
        <v>89</v>
      </c>
    </row>
    <row r="17" spans="2:5" x14ac:dyDescent="0.25">
      <c r="B17" s="2" t="s">
        <v>25</v>
      </c>
      <c r="C17" s="22" t="s">
        <v>65</v>
      </c>
      <c r="E17" s="23" t="s">
        <v>88</v>
      </c>
    </row>
    <row r="18" spans="2:5" x14ac:dyDescent="0.25">
      <c r="B18" s="14" t="s">
        <v>7</v>
      </c>
      <c r="C18" s="19"/>
      <c r="D18" s="19"/>
      <c r="E18" s="15"/>
    </row>
    <row r="19" spans="2:5" x14ac:dyDescent="0.25">
      <c r="B19" s="2" t="s">
        <v>8</v>
      </c>
      <c r="C19" s="21"/>
      <c r="E19" s="1"/>
    </row>
    <row r="20" spans="2:5" x14ac:dyDescent="0.25">
      <c r="B20" s="2" t="s">
        <v>9</v>
      </c>
      <c r="C20" s="21"/>
      <c r="E20" s="1"/>
    </row>
    <row r="21" spans="2:5" ht="15.75" thickBot="1" x14ac:dyDescent="0.3">
      <c r="B21" s="3" t="s">
        <v>11</v>
      </c>
      <c r="C21" s="7"/>
      <c r="D21" s="7" t="s">
        <v>91</v>
      </c>
      <c r="E21" s="4"/>
    </row>
    <row r="24" spans="2:5" ht="15.75" thickBot="1" x14ac:dyDescent="0.3"/>
    <row r="25" spans="2:5" x14ac:dyDescent="0.25">
      <c r="B25" s="16" t="s">
        <v>62</v>
      </c>
      <c r="C25" s="17"/>
      <c r="D25" s="17" t="s">
        <v>37</v>
      </c>
      <c r="E25" s="18" t="s">
        <v>13</v>
      </c>
    </row>
    <row r="26" spans="2:5" x14ac:dyDescent="0.25">
      <c r="B26" s="25" t="s">
        <v>14</v>
      </c>
      <c r="C26" s="26"/>
      <c r="D26" s="26"/>
      <c r="E26" s="27"/>
    </row>
    <row r="27" spans="2:5" x14ac:dyDescent="0.25">
      <c r="B27" s="2" t="s">
        <v>6</v>
      </c>
      <c r="C27" s="21" t="s">
        <v>65</v>
      </c>
      <c r="E27" s="1" t="s">
        <v>75</v>
      </c>
    </row>
    <row r="28" spans="2:5" x14ac:dyDescent="0.25">
      <c r="B28" s="2" t="s">
        <v>47</v>
      </c>
      <c r="C28" s="21" t="s">
        <v>65</v>
      </c>
      <c r="E28" s="1" t="s">
        <v>73</v>
      </c>
    </row>
    <row r="29" spans="2:5" x14ac:dyDescent="0.25">
      <c r="B29" s="2" t="s">
        <v>27</v>
      </c>
      <c r="C29" s="21" t="s">
        <v>65</v>
      </c>
      <c r="E29" s="1" t="s">
        <v>76</v>
      </c>
    </row>
    <row r="30" spans="2:5" x14ac:dyDescent="0.25">
      <c r="B30" s="2" t="s">
        <v>69</v>
      </c>
      <c r="C30" s="22" t="s">
        <v>65</v>
      </c>
      <c r="E30" s="23" t="s">
        <v>74</v>
      </c>
    </row>
    <row r="31" spans="2:5" x14ac:dyDescent="0.25">
      <c r="B31" s="2" t="s">
        <v>3</v>
      </c>
      <c r="C31" s="21" t="s">
        <v>65</v>
      </c>
      <c r="E31" s="23" t="s">
        <v>79</v>
      </c>
    </row>
    <row r="32" spans="2:5" x14ac:dyDescent="0.25">
      <c r="B32" s="2" t="s">
        <v>4</v>
      </c>
      <c r="C32" s="21" t="s">
        <v>65</v>
      </c>
      <c r="E32" s="23" t="s">
        <v>80</v>
      </c>
    </row>
    <row r="33" spans="2:5" x14ac:dyDescent="0.25">
      <c r="B33" s="2" t="s">
        <v>48</v>
      </c>
      <c r="C33" s="21" t="s">
        <v>65</v>
      </c>
      <c r="E33" s="1" t="s">
        <v>78</v>
      </c>
    </row>
    <row r="34" spans="2:5" x14ac:dyDescent="0.25">
      <c r="B34" s="2" t="s">
        <v>60</v>
      </c>
      <c r="C34" s="21" t="s">
        <v>65</v>
      </c>
      <c r="E34" s="23" t="s">
        <v>81</v>
      </c>
    </row>
    <row r="35" spans="2:5" x14ac:dyDescent="0.25">
      <c r="B35" s="2" t="s">
        <v>61</v>
      </c>
      <c r="C35" s="21" t="s">
        <v>65</v>
      </c>
      <c r="E35" s="23" t="s">
        <v>82</v>
      </c>
    </row>
    <row r="36" spans="2:5" x14ac:dyDescent="0.25">
      <c r="B36" s="14" t="s">
        <v>20</v>
      </c>
      <c r="C36" s="19"/>
      <c r="D36" s="19"/>
      <c r="E36" s="15"/>
    </row>
    <row r="37" spans="2:5" x14ac:dyDescent="0.25">
      <c r="B37" s="2" t="s">
        <v>21</v>
      </c>
      <c r="C37" s="21" t="s">
        <v>65</v>
      </c>
      <c r="E37" s="1" t="s">
        <v>92</v>
      </c>
    </row>
    <row r="38" spans="2:5" x14ac:dyDescent="0.25">
      <c r="B38" s="2" t="s">
        <v>59</v>
      </c>
      <c r="C38" s="21" t="s">
        <v>65</v>
      </c>
      <c r="D38" t="s">
        <v>97</v>
      </c>
      <c r="E38" s="1"/>
    </row>
    <row r="39" spans="2:5" x14ac:dyDescent="0.25">
      <c r="B39" s="2" t="s">
        <v>66</v>
      </c>
      <c r="C39" s="21" t="s">
        <v>65</v>
      </c>
      <c r="E39" s="1" t="s">
        <v>83</v>
      </c>
    </row>
    <row r="40" spans="2:5" x14ac:dyDescent="0.25">
      <c r="B40" s="2" t="s">
        <v>67</v>
      </c>
      <c r="C40" s="21" t="s">
        <v>65</v>
      </c>
      <c r="E40" s="23" t="s">
        <v>84</v>
      </c>
    </row>
    <row r="41" spans="2:5" x14ac:dyDescent="0.25">
      <c r="B41" s="2"/>
      <c r="C41" s="21"/>
      <c r="E41" s="1"/>
    </row>
    <row r="42" spans="2:5" x14ac:dyDescent="0.25">
      <c r="B42" s="14" t="s">
        <v>7</v>
      </c>
      <c r="C42" s="19"/>
      <c r="D42" s="19"/>
      <c r="E42" s="15"/>
    </row>
    <row r="43" spans="2:5" x14ac:dyDescent="0.25">
      <c r="B43" s="2" t="s">
        <v>15</v>
      </c>
      <c r="C43" s="21"/>
      <c r="E43" s="1" t="s">
        <v>90</v>
      </c>
    </row>
    <row r="44" spans="2:5" x14ac:dyDescent="0.25">
      <c r="B44" s="2" t="s">
        <v>16</v>
      </c>
      <c r="C44" s="21"/>
      <c r="E44" s="1"/>
    </row>
    <row r="45" spans="2:5" x14ac:dyDescent="0.25">
      <c r="B45" s="2" t="s">
        <v>17</v>
      </c>
      <c r="C45" s="21"/>
      <c r="E45" s="1" t="s">
        <v>96</v>
      </c>
    </row>
    <row r="46" spans="2:5" x14ac:dyDescent="0.25">
      <c r="B46" s="2" t="s">
        <v>18</v>
      </c>
      <c r="C46" s="21"/>
      <c r="D46" t="s">
        <v>40</v>
      </c>
      <c r="E46" s="1" t="s">
        <v>93</v>
      </c>
    </row>
    <row r="47" spans="2:5" x14ac:dyDescent="0.25">
      <c r="B47" s="2" t="s">
        <v>19</v>
      </c>
      <c r="C47" s="21"/>
      <c r="E47" s="1" t="s">
        <v>95</v>
      </c>
    </row>
    <row r="48" spans="2:5" x14ac:dyDescent="0.25">
      <c r="B48" s="2" t="s">
        <v>26</v>
      </c>
      <c r="C48" s="21"/>
      <c r="D48" t="s">
        <v>39</v>
      </c>
      <c r="E48" s="1"/>
    </row>
    <row r="49" spans="2:5" x14ac:dyDescent="0.25">
      <c r="B49" s="2" t="s">
        <v>28</v>
      </c>
      <c r="C49" s="21"/>
      <c r="E49" s="1" t="s">
        <v>94</v>
      </c>
    </row>
    <row r="50" spans="2:5" x14ac:dyDescent="0.25">
      <c r="B50" s="2" t="s">
        <v>36</v>
      </c>
      <c r="C50" s="21"/>
      <c r="D50" t="s">
        <v>38</v>
      </c>
      <c r="E50" s="1"/>
    </row>
    <row r="51" spans="2:5" x14ac:dyDescent="0.25">
      <c r="B51" s="2" t="s">
        <v>98</v>
      </c>
      <c r="C51" s="21"/>
      <c r="E51" s="1" t="s">
        <v>99</v>
      </c>
    </row>
    <row r="52" spans="2:5" x14ac:dyDescent="0.25">
      <c r="B52" s="2" t="s">
        <v>101</v>
      </c>
      <c r="C52" s="21"/>
      <c r="D52" t="s">
        <v>102</v>
      </c>
      <c r="E52" s="1" t="s">
        <v>100</v>
      </c>
    </row>
    <row r="53" spans="2:5" ht="15.75" thickBot="1" x14ac:dyDescent="0.3">
      <c r="B53" s="3" t="s">
        <v>10</v>
      </c>
      <c r="C53" s="7"/>
      <c r="D53" s="7" t="s">
        <v>41</v>
      </c>
      <c r="E53" s="4"/>
    </row>
  </sheetData>
  <hyperlinks>
    <hyperlink ref="E9" r:id="rId1" xr:uid="{2EE1E945-E687-4945-BD52-BA7335A76EE4}"/>
    <hyperlink ref="E8" r:id="rId2" xr:uid="{7827501E-8357-4F44-9A29-B9C0A4107AAD}"/>
    <hyperlink ref="E10" r:id="rId3" xr:uid="{43E713A4-1E04-4C63-B46B-4CACF4F72111}"/>
    <hyperlink ref="E30" r:id="rId4" xr:uid="{423B3E64-386E-428C-B2FD-EB535D6227F3}"/>
    <hyperlink ref="E31" r:id="rId5" xr:uid="{346EF1FB-197E-4D9A-B87D-2CB42143CD1E}"/>
    <hyperlink ref="E32" r:id="rId6" xr:uid="{335A328E-F509-4CAB-BE9A-CE9B57EA92C0}"/>
    <hyperlink ref="E34" r:id="rId7" xr:uid="{591E9604-191B-41A3-B9FA-30CF40662A01}"/>
    <hyperlink ref="E35" r:id="rId8" xr:uid="{885E547D-81D9-4033-BC37-F9F2F992B698}"/>
    <hyperlink ref="E40" r:id="rId9" xr:uid="{49B032A7-3737-4A1A-AE9D-66C7B57C7D0E}"/>
    <hyperlink ref="E13" r:id="rId10" xr:uid="{AC9EE4F6-671A-4C75-ACEA-B11C8D499FA6}"/>
    <hyperlink ref="E14" r:id="rId11" xr:uid="{B2DA6438-86C8-4C2A-BDB4-BD2D9BBE6ED1}"/>
    <hyperlink ref="E15" r:id="rId12" xr:uid="{5DB3567F-C7B7-40D7-962A-0682910F6923}"/>
    <hyperlink ref="E17" r:id="rId13" xr:uid="{5884E3E8-655A-4A54-8F74-102DDF2DD020}"/>
    <hyperlink ref="E16" r:id="rId14" xr:uid="{A6C3D936-B4DE-43B1-ADAF-07DA19351EF0}"/>
    <hyperlink ref="C4" r:id="rId15" xr:uid="{05241B52-0C59-4E1D-9566-C7D65394F226}"/>
  </hyperlinks>
  <pageMargins left="0.7" right="0.7" top="0.75" bottom="0.75" header="0.3" footer="0.3"/>
  <headerFooter>
    <oddFooter>&amp;R_x000D_&amp;1#&amp;"Aptos"&amp;10&amp;KFF0000 Company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288B-7CE8-4A14-8E88-91A2D081B833}">
  <dimension ref="B3:D10"/>
  <sheetViews>
    <sheetView workbookViewId="0">
      <selection activeCell="C8" sqref="C8"/>
    </sheetView>
  </sheetViews>
  <sheetFormatPr defaultRowHeight="15" x14ac:dyDescent="0.25"/>
  <cols>
    <col min="2" max="2" width="10" bestFit="1" customWidth="1"/>
    <col min="3" max="3" width="19.85546875" bestFit="1" customWidth="1"/>
    <col min="4" max="4" width="19.140625" bestFit="1" customWidth="1"/>
  </cols>
  <sheetData>
    <row r="3" spans="2:4" x14ac:dyDescent="0.25">
      <c r="B3" t="s">
        <v>49</v>
      </c>
      <c r="C3" t="s">
        <v>57</v>
      </c>
      <c r="D3" t="s">
        <v>50</v>
      </c>
    </row>
    <row r="4" spans="2:4" x14ac:dyDescent="0.25">
      <c r="B4" s="10" t="s">
        <v>51</v>
      </c>
      <c r="D4">
        <v>15</v>
      </c>
    </row>
    <row r="5" spans="2:4" x14ac:dyDescent="0.25">
      <c r="B5" s="11" t="s">
        <v>52</v>
      </c>
      <c r="D5">
        <v>40</v>
      </c>
    </row>
    <row r="6" spans="2:4" x14ac:dyDescent="0.25">
      <c r="B6" s="11" t="s">
        <v>53</v>
      </c>
      <c r="C6">
        <v>5.2</v>
      </c>
      <c r="D6">
        <f t="shared" ref="D6:D10" si="0">C6*16</f>
        <v>83.2</v>
      </c>
    </row>
    <row r="7" spans="2:4" x14ac:dyDescent="0.25">
      <c r="D7">
        <f t="shared" si="0"/>
        <v>0</v>
      </c>
    </row>
    <row r="8" spans="2:4" x14ac:dyDescent="0.25">
      <c r="B8" t="s">
        <v>54</v>
      </c>
      <c r="D8">
        <f t="shared" si="0"/>
        <v>0</v>
      </c>
    </row>
    <row r="9" spans="2:4" x14ac:dyDescent="0.25">
      <c r="B9" t="s">
        <v>55</v>
      </c>
      <c r="D9">
        <f t="shared" si="0"/>
        <v>0</v>
      </c>
    </row>
    <row r="10" spans="2:4" x14ac:dyDescent="0.25">
      <c r="B10" t="s">
        <v>56</v>
      </c>
      <c r="D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9770-CC31-4A1B-BEFB-8E3878AF0A6B}">
  <dimension ref="B2:E4"/>
  <sheetViews>
    <sheetView workbookViewId="0">
      <selection activeCell="F8" sqref="F8"/>
    </sheetView>
  </sheetViews>
  <sheetFormatPr defaultRowHeight="15" x14ac:dyDescent="0.25"/>
  <cols>
    <col min="2" max="2" width="9.42578125" bestFit="1" customWidth="1"/>
    <col min="3" max="3" width="28" bestFit="1" customWidth="1"/>
    <col min="4" max="4" width="4.42578125" bestFit="1" customWidth="1"/>
  </cols>
  <sheetData>
    <row r="2" spans="2:5" x14ac:dyDescent="0.25">
      <c r="B2" s="9" t="s">
        <v>42</v>
      </c>
      <c r="C2" s="9" t="s">
        <v>43</v>
      </c>
      <c r="D2" s="9" t="s">
        <v>45</v>
      </c>
      <c r="E2" s="9" t="s">
        <v>44</v>
      </c>
    </row>
    <row r="3" spans="2:5" x14ac:dyDescent="0.25">
      <c r="C3" t="s">
        <v>36</v>
      </c>
      <c r="D3">
        <v>2</v>
      </c>
    </row>
    <row r="4" spans="2:5" x14ac:dyDescent="0.25">
      <c r="C4" t="s">
        <v>46</v>
      </c>
      <c r="D4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88fff8-b053-4fb1-90cd-f0bc93ae9791}" enabled="1" method="Privileged" siteId="{39b03722-b836-496a-85ec-850f0957ca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Torque Values</vt:lpstr>
      <vt:lpstr>Order List</vt:lpstr>
    </vt:vector>
  </TitlesOfParts>
  <Company>Deere &amp;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Olsen</dc:creator>
  <cp:lastModifiedBy>Simon Olsen</cp:lastModifiedBy>
  <dcterms:created xsi:type="dcterms:W3CDTF">2026-01-29T19:56:02Z</dcterms:created>
  <dcterms:modified xsi:type="dcterms:W3CDTF">2026-06-28T02:23:32Z</dcterms:modified>
</cp:coreProperties>
</file>